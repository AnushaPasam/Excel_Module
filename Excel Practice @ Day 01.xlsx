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300"/>
  </bookViews>
  <sheets>
    <sheet name="Sheet1" sheetId="1" r:id="rId1"/>
    <sheet name="Sheet2" sheetId="2" r:id="rId2"/>
  </sheets>
  <definedNames>
    <definedName name="Basic_Salary">Sheet2!$I$2:$I$39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B19" i="1" l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C18" i="1"/>
  <c r="D18" i="1"/>
  <c r="E18" i="1"/>
  <c r="F18" i="1"/>
  <c r="B18" i="1"/>
</calcChain>
</file>

<file path=xl/sharedStrings.xml><?xml version="1.0" encoding="utf-8"?>
<sst xmlns="http://schemas.openxmlformats.org/spreadsheetml/2006/main" count="311" uniqueCount="137">
  <si>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</si>
  <si>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</si>
  <si>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</si>
  <si>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</si>
  <si>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</si>
  <si>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</si>
  <si>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</si>
  <si>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</si>
  <si>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</si>
  <si>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</si>
  <si>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</si>
  <si>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</si>
  <si>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</si>
  <si>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</si>
  <si>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</si>
  <si>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</si>
  <si>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</si>
  <si>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</si>
  <si>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</si>
  <si>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</si>
  <si>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</si>
  <si>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</si>
  <si>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</si>
  <si>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</si>
  <si>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</si>
  <si>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</si>
  <si>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</si>
  <si>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</si>
  <si>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</si>
  <si>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</si>
  <si>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</si>
  <si>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</si>
  <si>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</si>
  <si>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</si>
  <si>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</si>
  <si>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</si>
  <si>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</si>
  <si>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</si>
  <si>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</si>
  <si>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Dedhia</t>
  </si>
  <si>
    <t>Director</t>
  </si>
  <si>
    <t>Dattatray</t>
  </si>
  <si>
    <t>Desai</t>
  </si>
  <si>
    <t>Learning &amp; Development</t>
  </si>
  <si>
    <t>Mid West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</si>
  <si>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</si>
  <si>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</si>
  <si>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</si>
  <si>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</si>
  <si>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</si>
  <si>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</si>
  <si>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</si>
  <si>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</si>
  <si>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</si>
  <si>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</si>
  <si>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</si>
  <si>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</si>
  <si>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</si>
  <si>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</si>
  <si>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</si>
  <si>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</si>
  <si>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</si>
  <si>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</si>
  <si>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</si>
  <si>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</si>
  <si>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</si>
  <si>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</si>
  <si>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</si>
  <si>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</si>
  <si>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</si>
  <si>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</si>
  <si>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</si>
  <si>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</si>
  <si>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</si>
  <si>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</si>
  <si>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</si>
  <si>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</si>
  <si>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</si>
  <si>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</si>
  <si>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</si>
  <si>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</si>
  <si>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</si>
  <si>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</si>
  <si>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</si>
  <si>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</si>
  <si>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</si>
  <si>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</si>
  <si>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</si>
  <si>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</si>
  <si>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</si>
  <si>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</si>
  <si>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</si>
  <si>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</si>
  <si>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</si>
  <si>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</si>
  <si>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</si>
  <si>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</si>
  <si>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</si>
  <si>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</si>
  <si>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</si>
  <si>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</si>
  <si>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</si>
  <si>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</si>
  <si>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</si>
  <si>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</si>
  <si>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</si>
  <si>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Descriptive Analysis</t>
  </si>
  <si>
    <t>Total Salary</t>
  </si>
  <si>
    <t>Average Salary</t>
  </si>
  <si>
    <t>Median Salary</t>
  </si>
  <si>
    <t>Total Employees</t>
  </si>
  <si>
    <t>Max Salary</t>
  </si>
  <si>
    <t>Min Salary</t>
  </si>
  <si>
    <t>More Analysis</t>
  </si>
  <si>
    <t>Department/Region</t>
  </si>
  <si>
    <t>Region Wise Department  Report</t>
  </si>
  <si>
    <t>Total Males</t>
  </si>
  <si>
    <t>Total Females</t>
  </si>
  <si>
    <t>Total Employees working in North</t>
  </si>
  <si>
    <t>Average Salary Paid to Sales Department of South Region</t>
  </si>
  <si>
    <t>Max Salary paid in FLM</t>
  </si>
  <si>
    <t>Min Salary paid in East Region</t>
  </si>
  <si>
    <t>Sugar</t>
  </si>
  <si>
    <t>Butter</t>
  </si>
  <si>
    <t>Flour</t>
  </si>
  <si>
    <t>Supplier 1</t>
  </si>
  <si>
    <t>Supplier 2</t>
  </si>
  <si>
    <t>Supplier 3</t>
  </si>
  <si>
    <t>Supplier 4</t>
  </si>
  <si>
    <t>Supplier 5</t>
  </si>
  <si>
    <t>Supplier 6</t>
  </si>
  <si>
    <t>Cost</t>
  </si>
  <si>
    <t>A18*B17</t>
  </si>
  <si>
    <t>A19*B17</t>
  </si>
  <si>
    <t>A20*B17</t>
  </si>
  <si>
    <t>A18*C17</t>
  </si>
  <si>
    <t>A18*D17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</si>
</sst>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"/>
    <numFmt numFmtId="165" formatCode="&quot;₹&quot;#,##0"/>
    <numFmt numFmtId="166" formatCode="&quot;₹&quot;\ 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64" fontId="0" fillId="0" borderId="0" xfId="0" applyNumberFormat="1"/>
    <xf numFmtId="165" fontId="0" fillId="0" borderId="0" xfId="0" applyNumberFormat="1"/>
    <xf numFmtId="0" fontId="4" fillId="0" borderId="3" xfId="0" applyFont="1" applyBorder="1"/>
    <xf numFmtId="0" fontId="5" fillId="0" borderId="3" xfId="0" applyFont="1" applyBorder="1"/>
    <xf numFmtId="0" fontId="6" fillId="3" borderId="0" xfId="0" applyFont="1" applyFill="1" applyAlignment="1">
      <alignment horizontal="center" vertical="center"/>
    </xf>
    <xf numFmtId="165" fontId="5" fillId="0" borderId="3" xfId="0" applyNumberFormat="1" applyFont="1" applyBorder="1"/>
    <xf numFmtId="0" fontId="8" fillId="0" borderId="3" xfId="0" applyFont="1" applyBorder="1"/>
    <xf numFmtId="0" fontId="4" fillId="0" borderId="3" xfId="0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0" fontId="1" fillId="0" borderId="0" xfId="0" applyFont="1"/>
    <xf numFmtId="166" fontId="1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0" xfId="0" applyNumberFormat="1"/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numFmt numFmtId="165" formatCode="&quot;₹&quot;#,##0"/>
    </dxf>
    <dxf>
      <numFmt numFmtId="164" formatCode="d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I39" totalsRowShown="0" headerRowDxfId="2">
  <autoFilter ref="A1:I39"/>
  <tableColumns count="9">
    <tableColumn id="1" name="C_Code"/>
    <tableColumn id="2" name="FirstName"/>
    <tableColumn id="3" name="LastName"/>
    <tableColumn id="4" name="Birthdate" dataDxfId="1"/>
    <tableColumn id="5" name="Gender"/>
    <tableColumn id="6" name="M_Status"/>
    <tableColumn id="7" name="Department"/>
    <tableColumn id="8" name="Region"/>
    <tableColumn id="9" name="Basic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5"/>
  <sheetViews>
    <sheetView tabSelected="1" zoomScaleNormal="100" workbookViewId="0">
      <selection activeCell="E3" sqref="E3"/>
    </sheetView>
  </sheetViews>
  <sheetFormatPr defaultRowHeight="14.5"/>
  <cols>
    <col min="5" max="5" width="12.1796875" customWidth="1"/>
  </cols>
  <sheetData>
    <row r="2" spans="1:14" ht="29">
      <c r="A2" s="1" t="s">
        <v>0</v>
      </c>
      <c r="B2" s="1" t="s">
        <v>1</v>
      </c>
      <c r="C2" s="1" t="s">
        <v>2</v>
      </c>
      <c r="D2" s="1" t="s">
        <v>3</v>
      </c>
      <c r="E2" s="1" t="s">
        <v>9</v>
      </c>
    </row>
    <row r="3" spans="1:14">
      <c r="A3" s="14" t="s">
        <v>4</v>
      </c>
      <c r="B3" s="14">
        <v>40000</v>
      </c>
      <c r="C3" s="14">
        <v>2</v>
      </c>
      <c r="D3" s="14">
        <f>B3*C3</f>
        <v>80000</v>
      </c>
      <c r="E3" s="15"/>
      <c r="K3" s="12" t="s">
        <v>1</v>
      </c>
    </row>
    <row r="4" spans="1:14">
      <c r="A4" s="14" t="s">
        <v>5</v>
      </c>
      <c r="B4" s="14">
        <v>2000</v>
      </c>
      <c r="C4" s="14">
        <v>5</v>
      </c>
      <c r="D4" s="14">
        <f>B4*C4</f>
        <v>10000</v>
      </c>
      <c r="E4" s="15"/>
      <c r="J4" s="12"/>
      <c r="K4" s="16">
        <v>0.4</v>
      </c>
      <c r="L4" s="16">
        <v>1.2</v>
      </c>
      <c r="M4" s="16">
        <v>0.12</v>
      </c>
    </row>
    <row r="5" spans="1:14">
      <c r="A5" s="14" t="s">
        <v>6</v>
      </c>
      <c r="B5" s="14">
        <v>2000</v>
      </c>
      <c r="C5" s="14">
        <v>3</v>
      </c>
      <c r="D5" s="14">
        <f>B5*C5</f>
        <v>6000</v>
      </c>
      <c r="E5" s="15"/>
      <c r="J5" s="12" t="s">
        <v>2</v>
      </c>
      <c r="K5" t="s">
        <v>122</v>
      </c>
      <c r="L5" t="s">
        <v>123</v>
      </c>
      <c r="M5" t="s">
        <v>124</v>
      </c>
    </row>
    <row r="6" spans="1:14">
      <c r="D6">
        <f>SUM(D3,D4,D5)</f>
        <v>96000</v>
      </c>
      <c r="J6" t="s">
        <v>125</v>
      </c>
      <c r="K6">
        <v>364</v>
      </c>
      <c r="L6">
        <v>391</v>
      </c>
      <c r="M6">
        <v>220</v>
      </c>
    </row>
    <row r="7" spans="1:14">
      <c r="J7" t="s">
        <v>126</v>
      </c>
      <c r="K7">
        <v>387</v>
      </c>
      <c r="L7">
        <v>245</v>
      </c>
      <c r="M7">
        <v>314</v>
      </c>
    </row>
    <row r="8" spans="1:14" ht="27" customHeight="1">
      <c r="A8" s="1" t="s">
        <v>0</v>
      </c>
      <c r="B8" s="1" t="s">
        <v>1</v>
      </c>
      <c r="C8" s="1" t="s">
        <v>7</v>
      </c>
      <c r="D8" s="1" t="s">
        <v>8</v>
      </c>
      <c r="J8" t="s">
        <v>127</v>
      </c>
      <c r="K8">
        <v>290</v>
      </c>
      <c r="L8">
        <v>211</v>
      </c>
      <c r="M8">
        <v>200</v>
      </c>
    </row>
    <row r="9" spans="1:14">
      <c r="A9" s="14" t="s">
        <v>4</v>
      </c>
      <c r="B9" s="14">
        <v>50000</v>
      </c>
      <c r="C9" s="17">
        <v>0.1</v>
      </c>
      <c r="D9" s="14"/>
      <c r="J9" t="s">
        <v>128</v>
      </c>
      <c r="K9">
        <v>340</v>
      </c>
      <c r="L9">
        <v>265</v>
      </c>
      <c r="M9">
        <v>330</v>
      </c>
    </row>
    <row r="10" spans="1:14">
      <c r="A10" s="14" t="s">
        <v>5</v>
      </c>
      <c r="B10" s="14">
        <v>1000</v>
      </c>
      <c r="C10" s="17"/>
      <c r="D10" s="14"/>
      <c r="J10" t="s">
        <v>129</v>
      </c>
      <c r="K10">
        <v>261</v>
      </c>
      <c r="L10">
        <v>345</v>
      </c>
      <c r="M10">
        <v>246</v>
      </c>
    </row>
    <row r="11" spans="1:14">
      <c r="A11" s="14" t="s">
        <v>6</v>
      </c>
      <c r="B11" s="14">
        <v>2000</v>
      </c>
      <c r="C11" s="17"/>
      <c r="D11" s="14"/>
      <c r="J11" t="s">
        <v>130</v>
      </c>
      <c r="K11">
        <v>365</v>
      </c>
      <c r="L11">
        <v>232</v>
      </c>
      <c r="M11">
        <v>390</v>
      </c>
    </row>
    <row r="13" spans="1:14">
      <c r="B13" s="18"/>
    </row>
    <row r="14" spans="1:14">
      <c r="J14" s="12" t="s">
        <v>131</v>
      </c>
    </row>
    <row r="15" spans="1:14">
      <c r="K15" t="s">
        <v>122</v>
      </c>
      <c r="L15" t="s">
        <v>123</v>
      </c>
      <c r="M15" t="s">
        <v>124</v>
      </c>
      <c r="N15" t="s">
        <v>3</v>
      </c>
    </row>
    <row r="16" spans="1:14">
      <c r="B16" s="1"/>
      <c r="C16" s="2"/>
      <c r="D16" s="2"/>
      <c r="E16" s="2"/>
      <c r="F16" s="2"/>
      <c r="J16" t="s">
        <v>125</v>
      </c>
      <c r="K16" s="16"/>
      <c r="L16" s="16"/>
      <c r="M16" s="16"/>
      <c r="N16" s="13"/>
    </row>
    <row r="17" spans="1:14">
      <c r="B17">
        <v>1</v>
      </c>
      <c r="C17" s="18">
        <v>2</v>
      </c>
      <c r="D17" s="18">
        <v>3</v>
      </c>
      <c r="E17" s="18">
        <v>4</v>
      </c>
      <c r="F17" s="18">
        <v>5</v>
      </c>
      <c r="J17" t="s">
        <v>126</v>
      </c>
      <c r="K17" s="16"/>
      <c r="L17" s="16"/>
      <c r="M17" s="16"/>
      <c r="N17" s="13"/>
    </row>
    <row r="18" spans="1:14">
      <c r="A18" s="19">
        <v>1</v>
      </c>
      <c r="B18" s="18">
        <f>$A18*B$17</f>
        <v>1</v>
      </c>
      <c r="C18" s="18">
        <f t="shared" ref="C18:F22" si="0">$A18*C$17</f>
        <v>2</v>
      </c>
      <c r="D18" s="18">
        <f t="shared" si="0"/>
        <v>3</v>
      </c>
      <c r="E18" s="18">
        <f t="shared" si="0"/>
        <v>4</v>
      </c>
      <c r="F18" s="18">
        <f t="shared" si="0"/>
        <v>5</v>
      </c>
      <c r="J18" t="s">
        <v>127</v>
      </c>
      <c r="K18" s="16"/>
      <c r="L18" s="16"/>
      <c r="M18" s="16"/>
      <c r="N18" s="13"/>
    </row>
    <row r="19" spans="1:14">
      <c r="A19" s="19">
        <v>2</v>
      </c>
      <c r="B19" s="18">
        <f t="shared" ref="B19:B22" si="1">$A19*B$17</f>
        <v>2</v>
      </c>
      <c r="C19" s="18">
        <f t="shared" si="0"/>
        <v>4</v>
      </c>
      <c r="D19" s="18">
        <f t="shared" si="0"/>
        <v>6</v>
      </c>
      <c r="E19" s="18">
        <f t="shared" si="0"/>
        <v>8</v>
      </c>
      <c r="F19" s="18">
        <f t="shared" si="0"/>
        <v>10</v>
      </c>
      <c r="J19" t="s">
        <v>128</v>
      </c>
      <c r="K19" s="16"/>
      <c r="L19" s="16"/>
      <c r="M19" s="16"/>
      <c r="N19" s="13"/>
    </row>
    <row r="20" spans="1:14">
      <c r="A20" s="19">
        <v>3</v>
      </c>
      <c r="B20" s="18">
        <f t="shared" si="1"/>
        <v>3</v>
      </c>
      <c r="C20" s="18">
        <f t="shared" si="0"/>
        <v>6</v>
      </c>
      <c r="D20" s="18">
        <f t="shared" si="0"/>
        <v>9</v>
      </c>
      <c r="E20" s="18">
        <f t="shared" si="0"/>
        <v>12</v>
      </c>
      <c r="F20" s="18">
        <f t="shared" si="0"/>
        <v>15</v>
      </c>
      <c r="J20" t="s">
        <v>129</v>
      </c>
      <c r="K20" s="16"/>
      <c r="L20" s="16"/>
      <c r="M20" s="16"/>
      <c r="N20" s="13"/>
    </row>
    <row r="21" spans="1:14">
      <c r="A21" s="19">
        <v>4</v>
      </c>
      <c r="B21" s="18">
        <f t="shared" si="1"/>
        <v>4</v>
      </c>
      <c r="C21" s="18">
        <f t="shared" si="0"/>
        <v>8</v>
      </c>
      <c r="D21" s="18">
        <f t="shared" si="0"/>
        <v>12</v>
      </c>
      <c r="E21" s="18">
        <f t="shared" si="0"/>
        <v>16</v>
      </c>
      <c r="F21" s="18">
        <f t="shared" si="0"/>
        <v>20</v>
      </c>
      <c r="J21" t="s">
        <v>130</v>
      </c>
      <c r="K21" s="16"/>
      <c r="L21" s="16"/>
      <c r="M21" s="16"/>
      <c r="N21" s="13"/>
    </row>
    <row r="22" spans="1:14">
      <c r="A22" s="19">
        <v>5</v>
      </c>
      <c r="B22" s="18">
        <f t="shared" si="1"/>
        <v>5</v>
      </c>
      <c r="C22" s="18">
        <f t="shared" si="0"/>
        <v>10</v>
      </c>
      <c r="D22" s="18">
        <f t="shared" si="0"/>
        <v>15</v>
      </c>
      <c r="E22" s="18">
        <f t="shared" si="0"/>
        <v>20</v>
      </c>
      <c r="F22" s="18">
        <f t="shared" si="0"/>
        <v>25</v>
      </c>
      <c r="J22" s="12" t="s">
        <v>3</v>
      </c>
      <c r="K22" s="16"/>
      <c r="L22" s="16"/>
      <c r="M22" s="16"/>
      <c r="N22" s="13"/>
    </row>
    <row r="23" spans="1:14">
      <c r="B23" t="s">
        <v>132</v>
      </c>
      <c r="C23" t="s">
        <v>135</v>
      </c>
      <c r="D23" t="s">
        <v>136</v>
      </c>
    </row>
    <row r="24" spans="1:14">
      <c r="B24" t="s">
        <v>133</v>
      </c>
    </row>
    <row r="25" spans="1:14">
      <c r="B2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opLeftCell="A14" workbookViewId="0">
      <selection activeCell="M24" sqref="M24"/>
    </sheetView>
  </sheetViews>
  <sheetFormatPr defaultRowHeight="14.5"/>
  <cols>
    <col min="1" max="1" width="9.36328125" customWidth="1"/>
    <col min="2" max="2" width="11.36328125" customWidth="1"/>
    <col min="3" max="3" width="11.1796875" customWidth="1"/>
    <col min="4" max="4" width="10.6328125" customWidth="1"/>
    <col min="5" max="5" width="9" customWidth="1"/>
    <col min="6" max="6" width="10.90625" customWidth="1"/>
    <col min="7" max="7" width="13" customWidth="1"/>
    <col min="9" max="9" width="12.6328125" customWidth="1"/>
    <col min="12" max="12" width="48.6328125" customWidth="1"/>
    <col min="13" max="13" width="13.08984375" customWidth="1"/>
    <col min="14" max="14" width="11.6328125" customWidth="1"/>
    <col min="15" max="15" width="13.453125" customWidth="1"/>
    <col min="16" max="16" width="14" customWidth="1"/>
  </cols>
  <sheetData>
    <row r="1" spans="1:13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</row>
    <row r="2" spans="1:13">
      <c r="A2">
        <v>150834</v>
      </c>
      <c r="B2" t="s">
        <v>19</v>
      </c>
      <c r="C2" t="s">
        <v>20</v>
      </c>
      <c r="D2" s="3">
        <v>31199</v>
      </c>
      <c r="E2" t="s">
        <v>21</v>
      </c>
      <c r="F2" t="s">
        <v>22</v>
      </c>
      <c r="G2" t="s">
        <v>23</v>
      </c>
      <c r="H2" t="s">
        <v>24</v>
      </c>
      <c r="I2" s="4">
        <v>48000</v>
      </c>
    </row>
    <row r="3" spans="1:13">
      <c r="A3">
        <v>150784</v>
      </c>
      <c r="B3" t="s">
        <v>25</v>
      </c>
      <c r="C3" t="s">
        <v>26</v>
      </c>
      <c r="D3" s="3">
        <v>28365</v>
      </c>
      <c r="E3" t="s">
        <v>21</v>
      </c>
      <c r="F3" t="s">
        <v>27</v>
      </c>
      <c r="G3" t="s">
        <v>28</v>
      </c>
      <c r="H3" t="s">
        <v>24</v>
      </c>
      <c r="I3" s="4">
        <v>35000</v>
      </c>
    </row>
    <row r="4" spans="1:13">
      <c r="A4">
        <v>150791</v>
      </c>
      <c r="B4" t="s">
        <v>29</v>
      </c>
      <c r="C4" t="s">
        <v>30</v>
      </c>
      <c r="D4" s="3">
        <v>59871</v>
      </c>
      <c r="E4" t="s">
        <v>21</v>
      </c>
      <c r="F4" t="s">
        <v>22</v>
      </c>
      <c r="G4" t="s">
        <v>28</v>
      </c>
      <c r="H4" t="s">
        <v>24</v>
      </c>
      <c r="I4" s="4">
        <v>67000</v>
      </c>
      <c r="L4" s="20" t="s">
        <v>106</v>
      </c>
      <c r="M4" s="21"/>
    </row>
    <row r="5" spans="1:13">
      <c r="A5">
        <v>150940</v>
      </c>
      <c r="B5" t="s">
        <v>31</v>
      </c>
      <c r="C5" t="s">
        <v>32</v>
      </c>
      <c r="D5" s="3">
        <v>26906</v>
      </c>
      <c r="E5" t="s">
        <v>33</v>
      </c>
      <c r="F5" t="s">
        <v>27</v>
      </c>
      <c r="G5" t="s">
        <v>34</v>
      </c>
      <c r="H5" t="s">
        <v>35</v>
      </c>
      <c r="I5" s="4">
        <v>87000</v>
      </c>
      <c r="L5" s="5" t="s">
        <v>107</v>
      </c>
      <c r="M5" s="8"/>
    </row>
    <row r="6" spans="1:13">
      <c r="A6">
        <v>150777</v>
      </c>
      <c r="B6" t="s">
        <v>36</v>
      </c>
      <c r="C6" t="s">
        <v>37</v>
      </c>
      <c r="D6" s="3">
        <v>57648</v>
      </c>
      <c r="E6" t="s">
        <v>33</v>
      </c>
      <c r="F6" t="s">
        <v>22</v>
      </c>
      <c r="G6" t="s">
        <v>38</v>
      </c>
      <c r="H6" t="s">
        <v>24</v>
      </c>
      <c r="I6" s="4">
        <v>22000</v>
      </c>
      <c r="L6" s="5" t="s">
        <v>108</v>
      </c>
      <c r="M6" s="8"/>
    </row>
    <row r="7" spans="1:13">
      <c r="A7">
        <v>150805</v>
      </c>
      <c r="B7" t="s">
        <v>29</v>
      </c>
      <c r="C7" t="s">
        <v>39</v>
      </c>
      <c r="D7" s="3">
        <v>26172</v>
      </c>
      <c r="E7" t="s">
        <v>33</v>
      </c>
      <c r="F7" t="s">
        <v>22</v>
      </c>
      <c r="G7" t="s">
        <v>40</v>
      </c>
      <c r="H7" t="s">
        <v>24</v>
      </c>
      <c r="I7" s="4">
        <v>91000</v>
      </c>
      <c r="L7" s="5" t="s">
        <v>109</v>
      </c>
      <c r="M7" s="6"/>
    </row>
    <row r="8" spans="1:13">
      <c r="A8">
        <v>150990</v>
      </c>
      <c r="B8" t="s">
        <v>41</v>
      </c>
      <c r="C8" t="s">
        <v>42</v>
      </c>
      <c r="D8" s="3">
        <v>36400</v>
      </c>
      <c r="E8" t="s">
        <v>33</v>
      </c>
      <c r="F8" t="s">
        <v>22</v>
      </c>
      <c r="G8" t="s">
        <v>43</v>
      </c>
      <c r="H8" t="s">
        <v>44</v>
      </c>
      <c r="I8" s="4">
        <v>77000</v>
      </c>
      <c r="L8" s="5" t="s">
        <v>110</v>
      </c>
      <c r="M8" s="6"/>
    </row>
    <row r="9" spans="1:13">
      <c r="A9">
        <v>150989</v>
      </c>
      <c r="B9" t="s">
        <v>45</v>
      </c>
      <c r="C9" t="s">
        <v>42</v>
      </c>
      <c r="D9" s="3">
        <v>33113</v>
      </c>
      <c r="E9" t="s">
        <v>33</v>
      </c>
      <c r="F9" t="s">
        <v>22</v>
      </c>
      <c r="G9" t="s">
        <v>28</v>
      </c>
      <c r="H9" t="s">
        <v>44</v>
      </c>
      <c r="I9" s="4">
        <v>45000</v>
      </c>
      <c r="L9" s="5" t="s">
        <v>111</v>
      </c>
      <c r="M9" s="6"/>
    </row>
    <row r="10" spans="1:13">
      <c r="A10">
        <v>150881</v>
      </c>
      <c r="B10" t="s">
        <v>46</v>
      </c>
      <c r="C10" t="s">
        <v>47</v>
      </c>
      <c r="D10" s="3">
        <v>30337</v>
      </c>
      <c r="E10" t="s">
        <v>33</v>
      </c>
      <c r="F10" t="s">
        <v>27</v>
      </c>
      <c r="G10" t="s">
        <v>28</v>
      </c>
      <c r="H10" t="s">
        <v>48</v>
      </c>
      <c r="I10" s="4">
        <v>92000</v>
      </c>
      <c r="L10" s="5" t="s">
        <v>112</v>
      </c>
      <c r="M10" s="6"/>
    </row>
    <row r="11" spans="1:13">
      <c r="A11">
        <v>150814</v>
      </c>
      <c r="B11" t="s">
        <v>49</v>
      </c>
      <c r="C11" t="s">
        <v>50</v>
      </c>
      <c r="D11" s="3">
        <v>26246</v>
      </c>
      <c r="E11" t="s">
        <v>33</v>
      </c>
      <c r="F11" t="s">
        <v>22</v>
      </c>
      <c r="G11" t="s">
        <v>34</v>
      </c>
      <c r="H11" t="s">
        <v>24</v>
      </c>
      <c r="I11" s="4">
        <v>50000</v>
      </c>
    </row>
    <row r="12" spans="1:13">
      <c r="A12">
        <v>150937</v>
      </c>
      <c r="B12" t="s">
        <v>51</v>
      </c>
      <c r="C12" t="s">
        <v>52</v>
      </c>
      <c r="D12" s="3">
        <v>61225</v>
      </c>
      <c r="E12" t="s">
        <v>33</v>
      </c>
      <c r="F12" t="s">
        <v>22</v>
      </c>
      <c r="G12" t="s">
        <v>43</v>
      </c>
      <c r="H12" t="s">
        <v>35</v>
      </c>
      <c r="I12" s="4">
        <v>37000</v>
      </c>
      <c r="L12" s="20" t="s">
        <v>113</v>
      </c>
      <c r="M12" s="21"/>
    </row>
    <row r="13" spans="1:13">
      <c r="A13">
        <v>150888</v>
      </c>
      <c r="B13" t="s">
        <v>53</v>
      </c>
      <c r="C13" t="s">
        <v>54</v>
      </c>
      <c r="D13" s="3">
        <v>29221</v>
      </c>
      <c r="E13" t="s">
        <v>33</v>
      </c>
      <c r="F13" t="s">
        <v>22</v>
      </c>
      <c r="G13" t="s">
        <v>43</v>
      </c>
      <c r="H13" t="s">
        <v>48</v>
      </c>
      <c r="I13" s="4">
        <v>43000</v>
      </c>
      <c r="L13" s="9" t="s">
        <v>116</v>
      </c>
      <c r="M13" s="6"/>
    </row>
    <row r="14" spans="1:13">
      <c r="A14">
        <v>150865</v>
      </c>
      <c r="B14" t="s">
        <v>55</v>
      </c>
      <c r="C14" t="s">
        <v>54</v>
      </c>
      <c r="D14" s="3">
        <v>31279</v>
      </c>
      <c r="E14" t="s">
        <v>21</v>
      </c>
      <c r="F14" t="s">
        <v>22</v>
      </c>
      <c r="G14" t="s">
        <v>56</v>
      </c>
      <c r="H14" t="s">
        <v>48</v>
      </c>
      <c r="I14" s="4">
        <v>90000</v>
      </c>
      <c r="L14" s="9" t="s">
        <v>117</v>
      </c>
      <c r="M14" s="6"/>
    </row>
    <row r="15" spans="1:13">
      <c r="A15">
        <v>150858</v>
      </c>
      <c r="B15" t="s">
        <v>57</v>
      </c>
      <c r="C15" t="s">
        <v>58</v>
      </c>
      <c r="D15" s="3">
        <v>34846</v>
      </c>
      <c r="E15" t="s">
        <v>33</v>
      </c>
      <c r="F15" t="s">
        <v>22</v>
      </c>
      <c r="G15" t="s">
        <v>59</v>
      </c>
      <c r="H15" t="s">
        <v>48</v>
      </c>
      <c r="I15" s="4">
        <v>34000</v>
      </c>
      <c r="L15" s="9" t="s">
        <v>118</v>
      </c>
      <c r="M15" s="6"/>
    </row>
    <row r="16" spans="1:13">
      <c r="A16">
        <v>150930</v>
      </c>
      <c r="B16" t="s">
        <v>60</v>
      </c>
      <c r="C16" t="s">
        <v>61</v>
      </c>
      <c r="D16" s="3">
        <v>37027</v>
      </c>
      <c r="E16" t="s">
        <v>33</v>
      </c>
      <c r="F16" t="s">
        <v>22</v>
      </c>
      <c r="G16" t="s">
        <v>28</v>
      </c>
      <c r="H16" t="s">
        <v>35</v>
      </c>
      <c r="I16" s="4">
        <v>82000</v>
      </c>
      <c r="L16" s="9" t="s">
        <v>119</v>
      </c>
      <c r="M16" s="6"/>
    </row>
    <row r="17" spans="1:16">
      <c r="A17">
        <v>150894</v>
      </c>
      <c r="B17" t="s">
        <v>62</v>
      </c>
      <c r="C17" t="s">
        <v>63</v>
      </c>
      <c r="D17" s="3">
        <v>37124</v>
      </c>
      <c r="E17" t="s">
        <v>33</v>
      </c>
      <c r="F17" t="s">
        <v>22</v>
      </c>
      <c r="G17" t="s">
        <v>34</v>
      </c>
      <c r="H17" t="s">
        <v>35</v>
      </c>
      <c r="I17" s="4">
        <v>67000</v>
      </c>
      <c r="L17" s="9" t="s">
        <v>120</v>
      </c>
      <c r="M17" s="6"/>
    </row>
    <row r="18" spans="1:16">
      <c r="A18">
        <v>150947</v>
      </c>
      <c r="B18" t="s">
        <v>64</v>
      </c>
      <c r="C18" t="s">
        <v>65</v>
      </c>
      <c r="D18" s="3">
        <v>33449</v>
      </c>
      <c r="E18" t="s">
        <v>21</v>
      </c>
      <c r="F18" t="s">
        <v>22</v>
      </c>
      <c r="G18" t="s">
        <v>59</v>
      </c>
      <c r="H18" t="s">
        <v>35</v>
      </c>
      <c r="I18" s="4">
        <v>85000</v>
      </c>
      <c r="L18" s="9" t="s">
        <v>121</v>
      </c>
      <c r="M18" s="6"/>
    </row>
    <row r="19" spans="1:16">
      <c r="A19">
        <v>150905</v>
      </c>
      <c r="B19" t="s">
        <v>66</v>
      </c>
      <c r="C19" t="s">
        <v>67</v>
      </c>
      <c r="D19" s="3">
        <v>30819</v>
      </c>
      <c r="E19" t="s">
        <v>21</v>
      </c>
      <c r="F19" t="s">
        <v>27</v>
      </c>
      <c r="G19" t="s">
        <v>23</v>
      </c>
      <c r="H19" t="s">
        <v>35</v>
      </c>
      <c r="I19" s="4">
        <v>62000</v>
      </c>
    </row>
    <row r="20" spans="1:16">
      <c r="A20">
        <v>150995</v>
      </c>
      <c r="B20" t="s">
        <v>68</v>
      </c>
      <c r="C20" t="s">
        <v>69</v>
      </c>
      <c r="D20" s="3">
        <v>35330</v>
      </c>
      <c r="E20" t="s">
        <v>33</v>
      </c>
      <c r="F20" t="s">
        <v>22</v>
      </c>
      <c r="G20" t="s">
        <v>34</v>
      </c>
      <c r="H20" t="s">
        <v>44</v>
      </c>
      <c r="I20" s="4">
        <v>15000</v>
      </c>
    </row>
    <row r="21" spans="1:16">
      <c r="A21">
        <v>150912</v>
      </c>
      <c r="B21" t="s">
        <v>70</v>
      </c>
      <c r="C21" t="s">
        <v>71</v>
      </c>
      <c r="D21" s="3">
        <v>37629</v>
      </c>
      <c r="E21" t="s">
        <v>21</v>
      </c>
      <c r="F21" t="s">
        <v>22</v>
      </c>
      <c r="G21" t="s">
        <v>72</v>
      </c>
      <c r="H21" t="s">
        <v>35</v>
      </c>
      <c r="I21" s="4">
        <v>81000</v>
      </c>
    </row>
    <row r="22" spans="1:16">
      <c r="A22">
        <v>150921</v>
      </c>
      <c r="B22" t="s">
        <v>73</v>
      </c>
      <c r="C22" t="s">
        <v>74</v>
      </c>
      <c r="D22" s="3">
        <v>38092</v>
      </c>
      <c r="E22" t="s">
        <v>33</v>
      </c>
      <c r="F22" t="s">
        <v>22</v>
      </c>
      <c r="G22" t="s">
        <v>75</v>
      </c>
      <c r="H22" t="s">
        <v>35</v>
      </c>
      <c r="I22" s="4">
        <v>19000</v>
      </c>
      <c r="L22" s="22" t="s">
        <v>115</v>
      </c>
      <c r="M22" s="21"/>
    </row>
    <row r="23" spans="1:16">
      <c r="A23">
        <v>150851</v>
      </c>
      <c r="B23" t="s">
        <v>76</v>
      </c>
      <c r="C23" t="s">
        <v>77</v>
      </c>
      <c r="D23" s="3">
        <v>29368</v>
      </c>
      <c r="E23" t="s">
        <v>33</v>
      </c>
      <c r="F23" t="s">
        <v>27</v>
      </c>
      <c r="G23" t="s">
        <v>34</v>
      </c>
      <c r="H23" t="s">
        <v>48</v>
      </c>
      <c r="I23" s="4">
        <v>75000</v>
      </c>
      <c r="L23" s="10" t="s">
        <v>114</v>
      </c>
      <c r="M23" s="5" t="s">
        <v>24</v>
      </c>
      <c r="N23" s="5" t="s">
        <v>35</v>
      </c>
      <c r="O23" s="5" t="s">
        <v>48</v>
      </c>
      <c r="P23" s="5" t="s">
        <v>44</v>
      </c>
    </row>
    <row r="24" spans="1:16">
      <c r="A24">
        <v>150867</v>
      </c>
      <c r="B24" t="s">
        <v>78</v>
      </c>
      <c r="C24" t="s">
        <v>79</v>
      </c>
      <c r="D24" s="3">
        <v>29028</v>
      </c>
      <c r="E24" t="s">
        <v>21</v>
      </c>
      <c r="F24" t="s">
        <v>27</v>
      </c>
      <c r="G24" t="s">
        <v>75</v>
      </c>
      <c r="H24" t="s">
        <v>48</v>
      </c>
      <c r="I24" s="4">
        <v>49000</v>
      </c>
      <c r="L24" s="11" t="s">
        <v>23</v>
      </c>
      <c r="M24" s="6"/>
      <c r="N24" s="6"/>
      <c r="O24" s="6"/>
      <c r="P24" s="6"/>
    </row>
    <row r="25" spans="1:16">
      <c r="A25">
        <v>150899</v>
      </c>
      <c r="B25" t="s">
        <v>80</v>
      </c>
      <c r="C25" t="s">
        <v>81</v>
      </c>
      <c r="D25" s="3">
        <v>37400</v>
      </c>
      <c r="E25" t="s">
        <v>33</v>
      </c>
      <c r="F25" t="s">
        <v>22</v>
      </c>
      <c r="G25" t="s">
        <v>59</v>
      </c>
      <c r="H25" t="s">
        <v>35</v>
      </c>
      <c r="I25" s="4">
        <v>50000</v>
      </c>
      <c r="L25" s="11" t="s">
        <v>28</v>
      </c>
      <c r="M25" s="6"/>
      <c r="N25" s="6"/>
      <c r="O25" s="6"/>
      <c r="P25" s="6"/>
    </row>
    <row r="26" spans="1:16">
      <c r="A26">
        <v>150975</v>
      </c>
      <c r="B26" t="s">
        <v>82</v>
      </c>
      <c r="C26" t="s">
        <v>83</v>
      </c>
      <c r="D26" s="3">
        <v>31478</v>
      </c>
      <c r="E26" t="s">
        <v>33</v>
      </c>
      <c r="F26" t="s">
        <v>22</v>
      </c>
      <c r="G26" t="s">
        <v>75</v>
      </c>
      <c r="H26" t="s">
        <v>44</v>
      </c>
      <c r="I26" s="4">
        <v>83000</v>
      </c>
      <c r="L26" s="11" t="s">
        <v>34</v>
      </c>
      <c r="M26" s="6"/>
      <c r="N26" s="6"/>
      <c r="O26" s="6"/>
      <c r="P26" s="6"/>
    </row>
    <row r="27" spans="1:16">
      <c r="A27">
        <v>150901</v>
      </c>
      <c r="B27" t="s">
        <v>84</v>
      </c>
      <c r="C27" t="s">
        <v>85</v>
      </c>
      <c r="D27" s="3">
        <v>32946</v>
      </c>
      <c r="E27" t="s">
        <v>21</v>
      </c>
      <c r="F27" t="s">
        <v>22</v>
      </c>
      <c r="G27" t="s">
        <v>86</v>
      </c>
      <c r="H27" t="s">
        <v>35</v>
      </c>
      <c r="I27" s="4">
        <v>53000</v>
      </c>
      <c r="L27" s="11" t="s">
        <v>38</v>
      </c>
      <c r="M27" s="6"/>
      <c r="N27" s="6"/>
      <c r="O27" s="6"/>
      <c r="P27" s="6"/>
    </row>
    <row r="28" spans="1:16">
      <c r="A28">
        <v>150968</v>
      </c>
      <c r="B28" t="s">
        <v>87</v>
      </c>
      <c r="C28" t="s">
        <v>88</v>
      </c>
      <c r="D28" s="3">
        <v>37208</v>
      </c>
      <c r="E28" t="s">
        <v>33</v>
      </c>
      <c r="F28" t="s">
        <v>22</v>
      </c>
      <c r="G28" t="s">
        <v>72</v>
      </c>
      <c r="H28" t="s">
        <v>35</v>
      </c>
      <c r="I28" s="4">
        <v>65000</v>
      </c>
      <c r="L28" s="11" t="s">
        <v>40</v>
      </c>
      <c r="M28" s="6"/>
      <c r="N28" s="6"/>
      <c r="O28" s="6"/>
      <c r="P28" s="6"/>
    </row>
    <row r="29" spans="1:16">
      <c r="A29">
        <v>150773</v>
      </c>
      <c r="B29" t="s">
        <v>89</v>
      </c>
      <c r="C29" t="s">
        <v>90</v>
      </c>
      <c r="D29" s="3">
        <v>26860</v>
      </c>
      <c r="E29" t="s">
        <v>33</v>
      </c>
      <c r="F29" t="s">
        <v>22</v>
      </c>
      <c r="G29" t="s">
        <v>75</v>
      </c>
      <c r="H29" t="s">
        <v>24</v>
      </c>
      <c r="I29" s="4">
        <v>85000</v>
      </c>
      <c r="L29" s="11" t="s">
        <v>43</v>
      </c>
      <c r="M29" s="6"/>
      <c r="N29" s="6"/>
      <c r="O29" s="6"/>
      <c r="P29" s="6"/>
    </row>
    <row r="30" spans="1:16">
      <c r="A30">
        <v>150840</v>
      </c>
      <c r="B30" t="s">
        <v>60</v>
      </c>
      <c r="C30" t="s">
        <v>91</v>
      </c>
      <c r="D30" s="3">
        <v>59661</v>
      </c>
      <c r="E30" t="s">
        <v>21</v>
      </c>
      <c r="F30" t="s">
        <v>22</v>
      </c>
      <c r="G30" t="s">
        <v>34</v>
      </c>
      <c r="H30" t="s">
        <v>48</v>
      </c>
      <c r="I30" s="4">
        <v>20000</v>
      </c>
      <c r="L30" s="11" t="s">
        <v>56</v>
      </c>
      <c r="M30" s="6"/>
      <c r="N30" s="6"/>
      <c r="O30" s="6"/>
      <c r="P30" s="6"/>
    </row>
    <row r="31" spans="1:16">
      <c r="A31">
        <v>150850</v>
      </c>
      <c r="B31" t="s">
        <v>51</v>
      </c>
      <c r="C31" t="s">
        <v>92</v>
      </c>
      <c r="D31" s="3">
        <v>32027</v>
      </c>
      <c r="E31" t="s">
        <v>33</v>
      </c>
      <c r="F31" t="s">
        <v>22</v>
      </c>
      <c r="G31" t="s">
        <v>59</v>
      </c>
      <c r="H31" t="s">
        <v>48</v>
      </c>
      <c r="I31" s="4">
        <v>47000</v>
      </c>
      <c r="L31" s="11" t="s">
        <v>59</v>
      </c>
      <c r="M31" s="6"/>
      <c r="N31" s="6"/>
      <c r="O31" s="6"/>
      <c r="P31" s="6"/>
    </row>
    <row r="32" spans="1:16">
      <c r="A32">
        <v>150962</v>
      </c>
      <c r="B32" t="s">
        <v>93</v>
      </c>
      <c r="C32" t="s">
        <v>94</v>
      </c>
      <c r="D32" s="3">
        <v>37773</v>
      </c>
      <c r="E32" t="s">
        <v>21</v>
      </c>
      <c r="F32" t="s">
        <v>22</v>
      </c>
      <c r="G32" t="s">
        <v>40</v>
      </c>
      <c r="H32" t="s">
        <v>35</v>
      </c>
      <c r="I32" s="4">
        <v>87000</v>
      </c>
      <c r="L32" s="11" t="s">
        <v>72</v>
      </c>
      <c r="M32" s="6"/>
      <c r="N32" s="6"/>
      <c r="O32" s="6"/>
      <c r="P32" s="6"/>
    </row>
    <row r="33" spans="1:16">
      <c r="A33">
        <v>150954</v>
      </c>
      <c r="B33" t="s">
        <v>95</v>
      </c>
      <c r="C33" t="s">
        <v>94</v>
      </c>
      <c r="D33" s="3">
        <v>35495</v>
      </c>
      <c r="E33" t="s">
        <v>21</v>
      </c>
      <c r="F33" t="s">
        <v>22</v>
      </c>
      <c r="G33" t="s">
        <v>86</v>
      </c>
      <c r="H33" t="s">
        <v>35</v>
      </c>
      <c r="I33" s="4">
        <v>57000</v>
      </c>
      <c r="L33" s="11" t="s">
        <v>75</v>
      </c>
      <c r="M33" s="6"/>
      <c r="N33" s="6"/>
      <c r="O33" s="6"/>
      <c r="P33" s="6"/>
    </row>
    <row r="34" spans="1:16">
      <c r="A34">
        <v>150874</v>
      </c>
      <c r="B34" t="s">
        <v>96</v>
      </c>
      <c r="C34" t="s">
        <v>94</v>
      </c>
      <c r="D34" s="3">
        <v>37890</v>
      </c>
      <c r="E34" t="s">
        <v>21</v>
      </c>
      <c r="F34" t="s">
        <v>22</v>
      </c>
      <c r="G34" t="s">
        <v>38</v>
      </c>
      <c r="H34" t="s">
        <v>48</v>
      </c>
      <c r="I34" s="4">
        <v>27000</v>
      </c>
      <c r="L34" s="11" t="s">
        <v>86</v>
      </c>
      <c r="M34" s="6"/>
      <c r="N34" s="6"/>
      <c r="O34" s="6"/>
      <c r="P34" s="6"/>
    </row>
    <row r="35" spans="1:16">
      <c r="A35">
        <v>150798</v>
      </c>
      <c r="B35" t="s">
        <v>97</v>
      </c>
      <c r="C35" t="s">
        <v>94</v>
      </c>
      <c r="D35" s="3">
        <v>28276</v>
      </c>
      <c r="E35" t="s">
        <v>21</v>
      </c>
      <c r="F35" t="s">
        <v>22</v>
      </c>
      <c r="G35" t="s">
        <v>28</v>
      </c>
      <c r="H35" t="s">
        <v>24</v>
      </c>
      <c r="I35" s="4">
        <v>81000</v>
      </c>
    </row>
    <row r="36" spans="1:16">
      <c r="A36">
        <v>150830</v>
      </c>
      <c r="B36" t="s">
        <v>98</v>
      </c>
      <c r="C36" t="s">
        <v>99</v>
      </c>
      <c r="D36" s="3">
        <v>29037</v>
      </c>
      <c r="E36" t="s">
        <v>21</v>
      </c>
      <c r="F36" t="s">
        <v>22</v>
      </c>
      <c r="G36" t="s">
        <v>86</v>
      </c>
      <c r="H36" t="s">
        <v>24</v>
      </c>
      <c r="I36" s="4">
        <v>52000</v>
      </c>
    </row>
    <row r="37" spans="1:16">
      <c r="A37">
        <v>150929</v>
      </c>
      <c r="B37" t="s">
        <v>100</v>
      </c>
      <c r="C37" t="s">
        <v>101</v>
      </c>
      <c r="D37" s="3">
        <v>26739</v>
      </c>
      <c r="E37" t="s">
        <v>33</v>
      </c>
      <c r="F37" t="s">
        <v>22</v>
      </c>
      <c r="G37" t="s">
        <v>38</v>
      </c>
      <c r="H37" t="s">
        <v>35</v>
      </c>
      <c r="I37" s="4">
        <v>58000</v>
      </c>
    </row>
    <row r="38" spans="1:16">
      <c r="A38">
        <v>150982</v>
      </c>
      <c r="B38" t="s">
        <v>102</v>
      </c>
      <c r="C38" t="s">
        <v>103</v>
      </c>
      <c r="D38" s="3">
        <v>35574</v>
      </c>
      <c r="E38" t="s">
        <v>33</v>
      </c>
      <c r="F38" t="s">
        <v>22</v>
      </c>
      <c r="G38" t="s">
        <v>38</v>
      </c>
      <c r="H38" t="s">
        <v>44</v>
      </c>
      <c r="I38" s="4">
        <v>47000</v>
      </c>
    </row>
    <row r="39" spans="1:16">
      <c r="A39">
        <v>150821</v>
      </c>
      <c r="B39" t="s">
        <v>104</v>
      </c>
      <c r="C39" t="s">
        <v>105</v>
      </c>
      <c r="D39" s="3">
        <v>29966</v>
      </c>
      <c r="E39" t="s">
        <v>33</v>
      </c>
      <c r="F39" t="s">
        <v>27</v>
      </c>
      <c r="G39" t="s">
        <v>59</v>
      </c>
      <c r="H39" t="s">
        <v>24</v>
      </c>
      <c r="I39" s="4">
        <v>26000</v>
      </c>
    </row>
  </sheetData>
  <mergeCells count="3">
    <mergeCell ref="L4:M4"/>
    <mergeCell ref="L12:M12"/>
    <mergeCell ref="L22:M2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6B26D-921F-46FF-BE30-B7F191CC7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Basic_Salary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DELL</cp:lastModifiedBy>
  <dcterms:created xsi:type="dcterms:W3CDTF">2026-09-05T06:54:36Z</dcterms:created>
  <dcterms:modified xsi:type="dcterms:W3CDTF">2026-10-28T23:31:27Z</dcterms:modified>
</cp:coreProperties>
</file>